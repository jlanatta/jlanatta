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0.Bank Accounts Balance" sheetId="1" r:id="rId4"/>
    <sheet name="1.Investments Balance" sheetId="2" r:id="rId5"/>
    <sheet name="2.Income" sheetId="3" r:id="rId6"/>
    <sheet name="Exchange Rates 31_12" sheetId="4" r:id="rId7"/>
  </sheets>
</workbook>
</file>

<file path=xl/sharedStrings.xml><?xml version="1.0" encoding="utf-8"?>
<sst xmlns="http://schemas.openxmlformats.org/spreadsheetml/2006/main" uniqueCount="21">
  <si>
    <t>Bank</t>
  </si>
  <si>
    <t>Euro</t>
  </si>
  <si>
    <t>Millennium BCP (PT)</t>
  </si>
  <si>
    <t>Bank of America (USA)</t>
  </si>
  <si>
    <t>ICBC (Argentina)</t>
  </si>
  <si>
    <t>Schwab (USA)</t>
  </si>
  <si>
    <t>Crypto / Bitcoin (UK)</t>
  </si>
  <si>
    <t>Crypto / Ether (UK)</t>
  </si>
  <si>
    <t>Fideicomisso (IRL)</t>
  </si>
  <si>
    <t>Luskansoft LLC + Quadiontech LLC (Dividends / USA)</t>
  </si>
  <si>
    <t>Dividendos de empresas americanas para a minha conta bancária em Portugal</t>
  </si>
  <si>
    <t>Quadiontech LLC (Em fondos Schwab)</t>
  </si>
  <si>
    <t>Transferência de fundos de Quadiontech LLC para a minha conta en Schwab</t>
  </si>
  <si>
    <t>Millennium BCP (Investments / PT)</t>
  </si>
  <si>
    <t>Schwab (Investments / USA)</t>
  </si>
  <si>
    <t>Currency</t>
  </si>
  <si>
    <t>Rate</t>
  </si>
  <si>
    <t>USD</t>
  </si>
  <si>
    <t>ARS</t>
  </si>
  <si>
    <t>BTC</t>
  </si>
  <si>
    <t>ETH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</si>
</sst>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/m"/>
    <numFmt numFmtId="60" formatCode="[$€-2]0.00"/>
    <numFmt numFmtId="61" formatCode="[$$-409]0.00"/>
    <numFmt numFmtId="62" formatCode="[$ARS]0.00"/>
    <numFmt numFmtId="63" formatCode="0.000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1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left" vertical="top" wrapText="1"/>
    </xf>
    <xf numFmtId="59" fontId="2" fillId="2" borderId="1" applyNumberFormat="1" applyFont="1" applyFill="1" applyBorder="1" applyAlignment="1" applyProtection="0">
      <alignment horizontal="left" vertical="top" wrapText="1"/>
    </xf>
    <xf numFmtId="49" fontId="2" fillId="3" borderId="2" applyNumberFormat="1" applyFont="1" applyFill="1" applyBorder="1" applyAlignment="1" applyProtection="0">
      <alignment vertical="top" wrapText="1"/>
    </xf>
    <xf numFmtId="60" fontId="3" borderId="3" applyNumberFormat="1" applyFont="1" applyFill="0" applyBorder="1" applyAlignment="1" applyProtection="0">
      <alignment vertical="top" wrapText="1"/>
    </xf>
    <xf numFmtId="60" fontId="3" borderId="4" applyNumberFormat="1" applyFont="1" applyFill="0" applyBorder="1" applyAlignment="1" applyProtection="0">
      <alignment horizontal="right" vertical="top" wrapText="1"/>
    </xf>
    <xf numFmtId="49" fontId="2" fillId="3" borderId="5" applyNumberFormat="1" applyFont="1" applyFill="1" applyBorder="1" applyAlignment="1" applyProtection="0">
      <alignment vertical="top" wrapText="1"/>
    </xf>
    <xf numFmtId="61" fontId="3" borderId="6" applyNumberFormat="1" applyFont="1" applyFill="0" applyBorder="1" applyAlignment="1" applyProtection="0">
      <alignment vertical="top" wrapText="1"/>
    </xf>
    <xf numFmtId="60" fontId="3" borderId="7" applyNumberFormat="1" applyFont="1" applyFill="0" applyBorder="1" applyAlignment="1" applyProtection="0">
      <alignment horizontal="right" vertical="top" wrapText="1"/>
    </xf>
    <xf numFmtId="62" fontId="3" borderId="6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3" borderId="4" applyNumberFormat="1" applyFont="1" applyFill="0" applyBorder="1" applyAlignment="1" applyProtection="0">
      <alignment vertical="top" wrapText="1"/>
    </xf>
    <xf numFmtId="60" fontId="3" borderId="7" applyNumberFormat="1" applyFont="1" applyFill="0" applyBorder="1" applyAlignment="1" applyProtection="0">
      <alignment vertical="top" wrapText="1"/>
    </xf>
    <xf numFmtId="0" fontId="3" borderId="6" applyNumberFormat="1" applyFont="1" applyFill="0" applyBorder="1" applyAlignment="1" applyProtection="0">
      <alignment vertical="top" wrapText="1"/>
    </xf>
    <xf numFmtId="60" fontId="3" borderId="6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1" applyNumberFormat="1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49" fontId="3" borderId="7" applyNumberFormat="1" applyFont="1" applyFill="0" applyBorder="1" applyAlignment="1" applyProtection="0">
      <alignment vertical="top" wrapText="1"/>
    </xf>
    <xf numFmtId="0" fontId="3" borderId="7" applyNumberFormat="0" applyFont="1" applyFill="0" applyBorder="1" applyAlignment="1" applyProtection="0">
      <alignment vertical="top" wrapText="1"/>
    </xf>
    <xf numFmtId="60" fontId="0" borderId="6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3" borderId="3" applyNumberFormat="1" applyFont="1" applyFill="0" applyBorder="1" applyAlignment="1" applyProtection="0">
      <alignment vertical="top" wrapText="1"/>
    </xf>
    <xf numFmtId="63" fontId="3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26.1641" style="1" customWidth="1"/>
    <col min="2" max="3" width="16.3516" style="1" customWidth="1"/>
    <col min="4" max="16384" width="16.3516" style="1" customWidth="1"/>
  </cols>
  <sheetData>
    <row r="1" ht="20.25" customHeight="1">
      <c r="A1" t="s" s="2">
        <v>0</v>
      </c>
      <c r="B1" s="3">
        <v>45657</v>
      </c>
      <c r="C1" t="s" s="2">
        <v>1</v>
      </c>
    </row>
    <row r="2" ht="20.25" customHeight="1">
      <c r="A2" t="s" s="4">
        <v>2</v>
      </c>
      <c r="B2" s="5">
        <v>8280.120000000001</v>
      </c>
      <c r="C2" s="6">
        <f>B2</f>
        <v>8280.120000000001</v>
      </c>
    </row>
    <row r="3" ht="20.05" customHeight="1">
      <c r="A3" t="s" s="7">
        <v>3</v>
      </c>
      <c r="B3" s="8">
        <v>130992.91</v>
      </c>
      <c r="C3" s="9">
        <f>B3*'Exchange Rates 31_12'!B2</f>
        <v>118545.619914007</v>
      </c>
    </row>
    <row r="4" ht="20.05" customHeight="1">
      <c r="A4" t="s" s="7">
        <v>4</v>
      </c>
      <c r="B4" s="10">
        <v>105595.79</v>
      </c>
      <c r="C4" s="9">
        <f>B4*'Exchange Rates 31_12'!B3</f>
        <v>119.3232427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26.1641" style="11" customWidth="1"/>
    <col min="2" max="3" width="16.3516" style="11" customWidth="1"/>
    <col min="4" max="16384" width="16.3516" style="11" customWidth="1"/>
  </cols>
  <sheetData>
    <row r="1" ht="20.25" customHeight="1">
      <c r="A1" t="s" s="2">
        <v>0</v>
      </c>
      <c r="B1" s="3">
        <v>45657</v>
      </c>
      <c r="C1" t="s" s="2">
        <v>1</v>
      </c>
    </row>
    <row r="2" ht="20.25" customHeight="1">
      <c r="A2" t="s" s="4">
        <v>2</v>
      </c>
      <c r="B2" s="5">
        <v>123850.1</v>
      </c>
      <c r="C2" s="12">
        <f>B2</f>
        <v>123850.1</v>
      </c>
    </row>
    <row r="3" ht="20.05" customHeight="1">
      <c r="A3" t="s" s="7">
        <v>5</v>
      </c>
      <c r="B3" s="8">
        <v>309101.99</v>
      </c>
      <c r="C3" s="13">
        <f>B3*'Exchange Rates 31_12'!B2</f>
        <v>279730.307702937</v>
      </c>
    </row>
    <row r="4" ht="20.05" customHeight="1">
      <c r="A4" t="s" s="7">
        <v>4</v>
      </c>
      <c r="B4" s="10">
        <v>262389.5</v>
      </c>
      <c r="C4" s="13">
        <f>B4*'Exchange Rates 31_12'!B3</f>
        <v>296.500135</v>
      </c>
    </row>
    <row r="5" ht="20.05" customHeight="1">
      <c r="A5" t="s" s="7">
        <v>6</v>
      </c>
      <c r="B5" s="14">
        <v>0.13351317</v>
      </c>
      <c r="C5" s="13">
        <f>B5*'Exchange Rates 31_12'!B4</f>
        <v>5091.1308740985</v>
      </c>
    </row>
    <row r="6" ht="20.05" customHeight="1">
      <c r="A6" t="s" s="7">
        <v>7</v>
      </c>
      <c r="B6" s="14">
        <v>0.37901</v>
      </c>
      <c r="C6" s="13">
        <f>B6*'Exchange Rates 31_12'!B5</f>
        <v>1037.9378355</v>
      </c>
    </row>
    <row r="7" ht="20.05" customHeight="1">
      <c r="A7" t="s" s="7">
        <v>8</v>
      </c>
      <c r="B7" s="15">
        <v>40000</v>
      </c>
      <c r="C7" s="13">
        <f>B7</f>
        <v>40000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47.3984" style="16" customWidth="1"/>
    <col min="2" max="3" width="16.3516" style="16" customWidth="1"/>
    <col min="4" max="4" width="79.2656" style="16" customWidth="1"/>
    <col min="5" max="16384" width="16.3516" style="16" customWidth="1"/>
  </cols>
  <sheetData>
    <row r="1" ht="20.25" customHeight="1">
      <c r="A1" s="17"/>
      <c r="B1" s="18">
        <v>2023</v>
      </c>
      <c r="C1" t="s" s="19">
        <v>1</v>
      </c>
      <c r="D1" s="17"/>
    </row>
    <row r="2" ht="20.25" customHeight="1">
      <c r="A2" t="s" s="4">
        <v>9</v>
      </c>
      <c r="B2" s="5">
        <v>117654.58</v>
      </c>
      <c r="C2" s="12">
        <f>B2</f>
        <v>117654.58</v>
      </c>
      <c r="D2" t="s" s="20">
        <v>10</v>
      </c>
    </row>
    <row r="3" ht="20.05" customHeight="1">
      <c r="A3" t="s" s="7">
        <v>11</v>
      </c>
      <c r="B3" s="8">
        <v>113274.5</v>
      </c>
      <c r="C3" s="13">
        <f>B3*'Exchange Rates 31_12'!B2</f>
        <v>102510.859732402</v>
      </c>
      <c r="D3" t="s" s="21">
        <v>12</v>
      </c>
    </row>
    <row r="4" ht="20.05" customHeight="1">
      <c r="A4" t="s" s="7">
        <v>13</v>
      </c>
      <c r="B4" s="15">
        <v>138.23</v>
      </c>
      <c r="C4" s="13">
        <f>B4</f>
        <v>138.23</v>
      </c>
      <c r="D4" s="22"/>
    </row>
    <row r="5" ht="20.05" customHeight="1">
      <c r="A5" t="s" s="7">
        <v>14</v>
      </c>
      <c r="B5" s="23">
        <v>0</v>
      </c>
      <c r="C5" s="24">
        <v>0</v>
      </c>
      <c r="D5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" customWidth="1"/>
    <col min="3" max="16384" width="16.3516" style="26" customWidth="1"/>
  </cols>
  <sheetData>
    <row r="1" ht="20.25" customHeight="1">
      <c r="A1" t="s" s="19">
        <v>15</v>
      </c>
      <c r="B1" t="s" s="19">
        <v>16</v>
      </c>
    </row>
    <row r="2" ht="20.25" customHeight="1">
      <c r="A2" t="s" s="4">
        <v>17</v>
      </c>
      <c r="B2" s="27">
        <v>0.9049773756</v>
      </c>
    </row>
    <row r="3" ht="20.05" customHeight="1">
      <c r="A3" t="s" s="7">
        <v>18</v>
      </c>
      <c r="B3" s="28">
        <v>0.00113</v>
      </c>
    </row>
    <row r="4" ht="20.05" customHeight="1">
      <c r="A4" t="s" s="7">
        <v>19</v>
      </c>
      <c r="B4" s="28">
        <v>38132.05</v>
      </c>
    </row>
    <row r="5" ht="20.05" customHeight="1">
      <c r="A5" t="s" s="7">
        <v>20</v>
      </c>
      <c r="B5" s="14">
        <v>2738.55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